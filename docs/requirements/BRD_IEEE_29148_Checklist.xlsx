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15" windowWidth="20955" windowHeight="9720" activeTab="0"/>
  </bookViews>
  <sheets>
    <sheet sheetId="1" name="IEEE 29148 BRD Checklist" state="visible" r:id="rId4"/>
  </sheets>
  <calcPr calcId="171027" fullCalcOnLoad="1"/>
</workbook>
</file>

<file path=xl/sharedStrings.xml><?xml version="1.0" encoding="utf-8"?>
<sst xmlns="http://schemas.openxmlformats.org/spreadsheetml/2006/main" count="104" uniqueCount="84">
  <si>
    <t>Category</t>
  </si>
  <si>
    <t>Checklist Item</t>
  </si>
  <si>
    <t>Description / Question</t>
  </si>
  <si>
    <t>Status</t>
  </si>
  <si>
    <t>Notes / Action Items</t>
  </si>
  <si>
    <t>1. Document &amp; Business Overview</t>
  </si>
  <si>
    <t>Business Purpose &amp; Drivers</t>
  </si>
  <si>
    <t>Does the BRD clearly articulate the core business problem, opportunity, or strategic drivers behind the project?</t>
  </si>
  <si>
    <t>Pass</t>
  </si>
  <si>
    <t>Đạt. Vấn đề, động lực và lý do "vì sao bây giờ" nêu tại Mục 2, 3.4–3.6. Vấn đề định tính có nguồn (SRC-001); phần định lượng (20 phút/lần, 33 giờ công/tuần) là giả định ASM-007, cần đo qua DEP-004.</t>
  </si>
  <si>
    <t>Business Objectives &amp; Success Metrics</t>
  </si>
  <si>
    <t>Are key performance indicators (KPIs), ROI expectations, and measurable business success criteria explicitly defined?</t>
  </si>
  <si>
    <t>Partial</t>
  </si>
  <si>
    <t>Có BO-001–003, MET-001–003 với công thức, nguồn dữ liệu, chủ sở hữu, tần suất và tiêu chí go/no-go (Mục 4). Thiếu: (1) baseline MET-001 mới là giả định, chưa đo (DEP-004, 2026-12-11); (2) mục tiêu đều là [Đề xuất], chưa được xác nhận; (3) chưa có ROI bằng tiền (chỉ có giờ công tiết kiệm so với chi phí). Hành động: quy đổi giờ công ra chi phí và so với CON-006.</t>
  </si>
  <si>
    <t>Scope &amp; Boundaries</t>
  </si>
  <si>
    <t>Are the project in-scope items, explicit out-of-scope items, and operational boundaries unambiguously detailed?</t>
  </si>
  <si>
    <t>Đạt. Mục 5 có đủ: trong phạm vi, ngoài phạm vi kèm lý do, hoãn lại kèm điều kiện xem xét lại, và ranh giới.</t>
  </si>
  <si>
    <t>Vision Statement</t>
  </si>
  <si>
    <t>Is there a concise high-level vision statement aligning the project with organizational strategy according to IEEE 29148?</t>
  </si>
  <si>
    <t>Fail</t>
  </si>
  <si>
    <t>Không có tuyên bố tầm nhìn riêng; Mục 2 chỉ mô tả "thay đổi đề xuất" và chưa liên kết với chiến lược của tổ chức. Hành động: thêm 1–2 câu tầm nhìn vào Mục 2 và nêu mục tiêu chiến lược liên quan (cần nhà tài trợ cung cấp).</t>
  </si>
  <si>
    <t>2. Stakeholder &amp; User Analysis</t>
  </si>
  <si>
    <t>Stakeholder Identification</t>
  </si>
  <si>
    <t>Are all key internal and external stakeholders, business sponsors, and user classes fully identified and categorized?</t>
  </si>
  <si>
    <t>Có 5 nhóm (STK-001–005) kèm ảnh hưởng và bên có thể chặn triển khai. Thiếu: (1) bên ngoài như nhà cung cấp dịch vụ AI, và chủ sở hữu/tác giả tài liệu (khách hàng, đối tác) nếu tài liệu chứa thông tin của họ; (2) quản trị viên là lớp người dùng nhưng chưa có trong bảng bên liên quan; (3) STK-004, STK-005 chưa được xác nhận qua phỏng vấn.</t>
  </si>
  <si>
    <t>User Personas &amp; Profile Characteristics</t>
  </si>
  <si>
    <t>Are target user profiles, business roles, operational contexts, and domain experience levels adequately specified?</t>
  </si>
  <si>
    <t>Chưa có persona hay hồ sơ lớp người dùng. Chỉ có "thành viên BD" và "quản trị viên" (bảng thuật ngữ); chưa mô tả bối cảnh làm việc, tần suất dùng, mức hiểu biết về AI/tài liệu. Hành động: thêm bảng lớp người dùng (BD tra cứu, BD tải tài liệu, quản trị viên) vào Mục 6.</t>
  </si>
  <si>
    <t>Business Constraints</t>
  </si>
  <si>
    <t>Are organizational, financial, regulatory, time-to-market, and strategic business constraints documented?</t>
  </si>
  <si>
    <t>Đạt. CON-001–007 bao gồm kỹ thuật, tổ chức, pháp lý, ngân sách và thời gian. Lưu ý: CON-005, CON-006, CON-007 là giá trị [Đề xuất] chờ OQ-006, OQ-010.</t>
  </si>
  <si>
    <t>3. Business Process &amp; Operational Concept</t>
  </si>
  <si>
    <t>Current State ('As-Is') Workflow</t>
  </si>
  <si>
    <t>Is the existing business workflow/process documented to provide context for the proposed changes?</t>
  </si>
  <si>
    <t>Có sơ đồ Mermaid As-Is (Mục 3.1), nhưng quy trình được suy luận từ SRC-001 và chưa xác nhận với đội BD (OQ-016). Hành động: phỏng vấn ≥ 3 thành viên BD trước 2026-10-30.</t>
  </si>
  <si>
    <t>Target State ('To-Be') Workflow</t>
  </si>
  <si>
    <t>Is the proposed business process model clearly illustrated, highlighting improvements, automation, or structural changes?</t>
  </si>
  <si>
    <t>Đạt. Sơ đồ To-Be (Mục 3.2) thể hiện rõ thay đổi: một điểm hỏi đáp tập trung, trích dẫn để kiểm chứng, câu hỏi nối tiếp.</t>
  </si>
  <si>
    <t>Operational Scenario &amp; Use Cases</t>
  </si>
  <si>
    <t>Are high-level business scenarios and primary business use cases described from the end-user/business perspective?</t>
  </si>
  <si>
    <t>Có luồng To-Be và các ví dụ trong tiêu chí nghiệm thu, nhưng chưa có kịch bản nghiệp vụ được đặt tên (ví dụ: tra cứu điều khoản trong nhiều hợp đồng, chuẩn bị họp với khách hàng, tóm tắt hồ sơ mới). Hành động: thêm 3–5 kịch bản vận hành vào Mục 3 hoặc Phụ lục.</t>
  </si>
  <si>
    <t>4. Business &amp; High-Level Functional Requirements</t>
  </si>
  <si>
    <t>Singularity &amp; Clarity</t>
  </si>
  <si>
    <t>Is each business requirement written as a single, unambiguous statement using standardized IEEE wording (e.g., 'The system shall...')?</t>
  </si>
  <si>
    <t>Đạt. Mỗi BR dùng mẫu "Giải pháp phải/nên/có thể…" (ánh xạ shall/should/may tại Mục 1.3), một nghĩa vụ mỗi yêu cầu, không có từ mơ hồ. Lưu ý: BR-020, BR-025 (Won't) không có động từ chuẩn tắc — chấp nhận được vì bị loại trừ.</t>
  </si>
  <si>
    <t>Completeness &amp; Implementation-Free</t>
  </si>
  <si>
    <t>Are business requirements complete and stated purely in terms of business capabilities rather than technical design/implementation details?</t>
  </si>
  <si>
    <t>Không có ngôn ngữ thiết kế; công nghệ chỉ xuất hiện dưới dạng ràng buộc (CON-001, CON-004), gợi ý RAG được tách ra Phụ lục 15.1. Chưa đầy đủ: thiếu yêu cầu về tính sẵn sàng, số người dùng đồng thời (≤ 20) và sao lưu/khôi phục kho tài liệu (xem dòng 17).</t>
  </si>
  <si>
    <t>Traceability &amp; Rationale</t>
  </si>
  <si>
    <t>Does each requirement include a clear business justification/rationale and a unique identifier for downstream requirements tracing?</t>
  </si>
  <si>
    <t>Đạt. Mọi BR có ID cố định, lý do, nguồn BO/SN, AC và phương pháp kiểm chứng; ma trận truy vết và báo cáo độ bao phủ ở Mục 11 không có yêu cầu mồ côi. Cột PRD/SRS ID chờ giai đoạn sau.</t>
  </si>
  <si>
    <t>Feasibility &amp; Realism</t>
  </si>
  <si>
    <t>Are all business requirements achievable within the known business context, operational constraints, and technology capability?</t>
  </si>
  <si>
    <t>Chưa được đội kỹ thuật xác nhận khả thi. Điểm cần kiểm chứng: ≥ 80% đúng (BR-012), ≤ 15 giây (BR-013) với 500 tài liệu, khoảng 22 BR trong phạm vi trong 7 tuần với 2 kỹ sư (CON-006/007), và ASM-005 phụ thuộc phê duyệt bảo mật. Hành động: đội kỹ thuật ước lượng và làm thử trên bộ tài liệu mẫu trước khi baseline.</t>
  </si>
  <si>
    <t>5. Business Quality &amp; Non-Functional Attributes</t>
  </si>
  <si>
    <t>Compliance &amp; Regulatory Standards</t>
  </si>
  <si>
    <t>Are legal, regulatory, compliance, data privacy (e.g., GDPR, HIPAA), and auditability requirements fully identified?</t>
  </si>
  <si>
    <t>Có phân loại dữ liệu và điều kiện dùng AI bên ngoài (CON-005), cấm dùng dữ liệu để huấn luyện mô hình (BR-028), thời hạn lưu giữ và xóa (BRU-003, BR-029), nhật ký (BR-018). Thiếu: (1) đánh giá dữ liệu cá nhân theo Nghị định 13/2023/NĐ-CP nếu tài liệu chứa thông tin cá nhân; (2) yêu cầu nhật ký truy vấn để kiểm toán; (3) BR-018 chỉ ở mức Should. Hành động: thêm câu hỏi mở cho Pháp chế.</t>
  </si>
  <si>
    <t>Business Continuity &amp; Availability</t>
  </si>
  <si>
    <t>Are business impact expectations for system downtime, recovery time objectives (RTO), and availability targets defined?</t>
  </si>
  <si>
    <t>Chưa định nghĩa tính sẵn sàng, khung giờ phục vụ, thời gian ngừng chấp nhận được, RTO/RPO hay sao lưu kho tài liệu. Hành động: thêm BR (ví dụ: sẵn sàng ≥ 95% trong giờ làm việc 8:00–18:00 các ngày làm việc trong thí điểm; RPO ≤ 24 giờ cho kho tài liệu) và câu hỏi mở cho nhà tài trợ.</t>
  </si>
  <si>
    <t>Security &amp; Business Policy Constraints</t>
  </si>
  <si>
    <t>Are high-level security, access control guidelines, and business policy enforcement rules established?</t>
  </si>
  <si>
    <t>Đạt. Kiểm soát truy cập (BR-016, OQ-015), phân quyền xóa (BRU-005), chính sách dữ liệu (BR-017, BR-028, CON-005), nhật ký (BR-018). Phân quyền theo tài liệu được hoãn có chủ đích (Mục 5.3).</t>
  </si>
  <si>
    <t>6. Assumptions, Dependencies &amp; Risks</t>
  </si>
  <si>
    <t>Business Assumptions</t>
  </si>
  <si>
    <t>Are all critical underlying business assumptions, facts, and expectations explicitly stated?</t>
  </si>
  <si>
    <t>Đạt. ASM-001–007 đều có tác động nếu sai, chủ sở hữu, cách xác thực và hạn.</t>
  </si>
  <si>
    <t>Dependencies &amp; Constraints</t>
  </si>
  <si>
    <t>Are interdependencies with other business initiatives, third-party services, legacy systems, or vendor deliveries mapped?</t>
  </si>
  <si>
    <t>Có DEP-001–004 (phê duyệt bảo mật, dịch vụ AI, bộ dữ liệu nghiệm thu, đo baseline); tích hợp hệ thống cũ được loại trừ (Mục 5.2). Thiếu: phụ thuộc vào hạ tầng lưu trữ/hosting được phê duyệt (CON-005c) và dịch vụ xác thực/danh bạ người dùng của tổ chức.</t>
  </si>
  <si>
    <t>Business Risks &amp; Mitigation</t>
  </si>
  <si>
    <t>Are major business risks identified along with potential mitigation strategies and contingency plans?</t>
  </si>
  <si>
    <t>Có RSK-001–007 theo dạng nguyên nhân → sự kiện → tác động, kèm mức độ, chủ sở hữu và biện pháp giảm thiểu. Thiếu kế hoạch dự phòng, ví dụ: nếu DEP-001 bị từ chối (dùng AI nội bộ?), nếu MET-002 &lt; 70% (No-go theo Mục 4.2). Hành động: thêm cột "Dự phòng" cho các rủi ro mức Cao.</t>
  </si>
  <si>
    <t>Review summary</t>
  </si>
  <si>
    <t>Reviewed document</t>
  </si>
  <si>
    <t>docs/requirements/BRD.md – v0.2 (In review)</t>
  </si>
  <si>
    <t>Review date</t>
  </si>
  <si>
    <t>2026-10-19</t>
  </si>
  <si>
    <t>Reviewer</t>
  </si>
  <si>
    <t>Claude (AI-assisted review) – cần BA xác nhận</t>
  </si>
  <si>
    <t>Total items</t>
  </si>
  <si>
    <t>Overall verdict</t>
  </si>
  <si>
    <t>Ready with conditions: chưa đạt "Ready for approval". Phải xử lý 3 mục Fail (dòng 5, 7, 17) và xác nhận các giá trị [Đề xuất] trước khi baseline.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</si>
</sst>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olor theme="1"/>
      <scheme val="minor"/>
      <sz val="11"/>
      <name val="Calibri"/>
    </font>
    <font>
      <b/>
      <color indexed="65"/>
      <sz val="11"/>
      <name val="Calibri"/>
    </font>
    <font>
      <b/>
      <sz val="11"/>
      <name val="Calibri"/>
    </font>
    <font>
      <sz val="11"/>
      <name val="Calibri"/>
    </font>
    <font>
      <b/>
      <color rgb="FF006100"/>
      <sz val="11"/>
      <name val="Calibri"/>
    </font>
    <font>
      <b/>
      <color rgb="FF9C5700"/>
      <sz val="11"/>
      <name val="Calibri"/>
    </font>
    <font>
      <b/>
      <color rgb="FF9C0006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indexed="65"/>
        <b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8F8F5"/>
        <bgColor rgb="FFE8F8F5"/>
      </patternFill>
    </fill>
  </fills>
  <borders count="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2" xfId="0" applyFont="1" applyBorder="1"/>
    <xf numFmtId="0" fontId="6" fillId="5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3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25" outlineLevelRow="0" outlineLevelCol="0" x14ac:dyDescent="0" customHeight="1"/>
  <cols>
    <col min="1" max="1" width="32" style="1" customWidth="1"/>
    <col min="2" max="2" width="28" customWidth="1"/>
    <col min="3" max="3" width="68" customWidth="1"/>
    <col min="4" max="4" width="16" customWidth="1"/>
    <col min="5" max="5" width="80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28.5" customHeight="1" spans="1:5" x14ac:dyDescent="0.25">
      <c r="A2" s="4" t="s">
        <v>5</v>
      </c>
      <c r="B2" s="5" t="s">
        <v>6</v>
      </c>
      <c r="C2" s="6" t="s">
        <v>7</v>
      </c>
      <c r="D2" s="7" t="s">
        <v>8</v>
      </c>
      <c r="E2" s="8" t="s">
        <v>9</v>
      </c>
    </row>
    <row r="3" ht="28.5" customHeight="1" spans="1:5" x14ac:dyDescent="0.25">
      <c r="A3" s="9"/>
      <c r="B3" s="10" t="s">
        <v>10</v>
      </c>
      <c r="C3" s="6" t="s">
        <v>11</v>
      </c>
      <c r="D3" s="11" t="s">
        <v>12</v>
      </c>
      <c r="E3" s="8" t="s">
        <v>13</v>
      </c>
    </row>
    <row r="4" ht="28.5" customHeight="1" spans="1:5" x14ac:dyDescent="0.25">
      <c r="A4" s="9"/>
      <c r="B4" s="10" t="s">
        <v>14</v>
      </c>
      <c r="C4" s="6" t="s">
        <v>15</v>
      </c>
      <c r="D4" s="7" t="s">
        <v>8</v>
      </c>
      <c r="E4" s="8" t="s">
        <v>16</v>
      </c>
    </row>
    <row r="5" ht="28.5" customHeight="1" spans="1:5" x14ac:dyDescent="0.25">
      <c r="A5" s="12"/>
      <c r="B5" s="10" t="s">
        <v>17</v>
      </c>
      <c r="C5" s="6" t="s">
        <v>18</v>
      </c>
      <c r="D5" s="13" t="s">
        <v>19</v>
      </c>
      <c r="E5" s="8" t="s">
        <v>20</v>
      </c>
    </row>
    <row r="6" ht="28.5" customHeight="1" spans="1:5" x14ac:dyDescent="0.25">
      <c r="A6" s="14" t="s">
        <v>21</v>
      </c>
      <c r="B6" s="5" t="s">
        <v>22</v>
      </c>
      <c r="C6" s="6" t="s">
        <v>23</v>
      </c>
      <c r="D6" s="11" t="s">
        <v>12</v>
      </c>
      <c r="E6" s="8" t="s">
        <v>24</v>
      </c>
    </row>
    <row r="7" ht="28.5" customHeight="1" spans="1:5" x14ac:dyDescent="0.25">
      <c r="A7" s="15"/>
      <c r="B7" s="10" t="s">
        <v>25</v>
      </c>
      <c r="C7" s="6" t="s">
        <v>26</v>
      </c>
      <c r="D7" s="13" t="s">
        <v>19</v>
      </c>
      <c r="E7" s="8" t="s">
        <v>27</v>
      </c>
    </row>
    <row r="8" ht="28.5" customHeight="1" spans="1:5" x14ac:dyDescent="0.25">
      <c r="A8" s="16"/>
      <c r="B8" s="10" t="s">
        <v>28</v>
      </c>
      <c r="C8" s="6" t="s">
        <v>29</v>
      </c>
      <c r="D8" s="7" t="s">
        <v>8</v>
      </c>
      <c r="E8" s="8" t="s">
        <v>30</v>
      </c>
    </row>
    <row r="9" ht="28.5" customHeight="1" spans="1:5" x14ac:dyDescent="0.25">
      <c r="A9" s="4" t="s">
        <v>31</v>
      </c>
      <c r="B9" s="5" t="s">
        <v>32</v>
      </c>
      <c r="C9" s="6" t="s">
        <v>33</v>
      </c>
      <c r="D9" s="11" t="s">
        <v>12</v>
      </c>
      <c r="E9" s="8" t="s">
        <v>34</v>
      </c>
    </row>
    <row r="10" ht="28.5" customHeight="1" spans="1:5" x14ac:dyDescent="0.25">
      <c r="A10" s="9"/>
      <c r="B10" s="10" t="s">
        <v>35</v>
      </c>
      <c r="C10" s="6" t="s">
        <v>36</v>
      </c>
      <c r="D10" s="7" t="s">
        <v>8</v>
      </c>
      <c r="E10" s="8" t="s">
        <v>37</v>
      </c>
    </row>
    <row r="11" ht="28.5" customHeight="1" spans="1:5" x14ac:dyDescent="0.25">
      <c r="A11" s="12"/>
      <c r="B11" s="10" t="s">
        <v>38</v>
      </c>
      <c r="C11" s="6" t="s">
        <v>39</v>
      </c>
      <c r="D11" s="11" t="s">
        <v>12</v>
      </c>
      <c r="E11" s="8" t="s">
        <v>40</v>
      </c>
    </row>
    <row r="12" ht="28.5" customHeight="1" spans="1:5" x14ac:dyDescent="0.25">
      <c r="A12" s="14" t="s">
        <v>41</v>
      </c>
      <c r="B12" s="5" t="s">
        <v>42</v>
      </c>
      <c r="C12" s="6" t="s">
        <v>43</v>
      </c>
      <c r="D12" s="7" t="s">
        <v>8</v>
      </c>
      <c r="E12" s="8" t="s">
        <v>44</v>
      </c>
    </row>
    <row r="13" ht="28.5" customHeight="1" spans="1:5" x14ac:dyDescent="0.25">
      <c r="A13" s="15"/>
      <c r="B13" s="10" t="s">
        <v>45</v>
      </c>
      <c r="C13" s="6" t="s">
        <v>46</v>
      </c>
      <c r="D13" s="11" t="s">
        <v>12</v>
      </c>
      <c r="E13" s="8" t="s">
        <v>47</v>
      </c>
    </row>
    <row r="14" ht="28.5" customHeight="1" spans="1:5" x14ac:dyDescent="0.25">
      <c r="A14" s="15"/>
      <c r="B14" s="10" t="s">
        <v>48</v>
      </c>
      <c r="C14" s="6" t="s">
        <v>49</v>
      </c>
      <c r="D14" s="7" t="s">
        <v>8</v>
      </c>
      <c r="E14" s="8" t="s">
        <v>50</v>
      </c>
    </row>
    <row r="15" ht="28.5" customHeight="1" spans="1:5" x14ac:dyDescent="0.25">
      <c r="A15" s="16"/>
      <c r="B15" s="10" t="s">
        <v>51</v>
      </c>
      <c r="C15" s="6" t="s">
        <v>52</v>
      </c>
      <c r="D15" s="11" t="s">
        <v>12</v>
      </c>
      <c r="E15" s="8" t="s">
        <v>53</v>
      </c>
    </row>
    <row r="16" ht="28.5" customHeight="1" spans="1:5" x14ac:dyDescent="0.25">
      <c r="A16" s="4" t="s">
        <v>54</v>
      </c>
      <c r="B16" s="5" t="s">
        <v>55</v>
      </c>
      <c r="C16" s="6" t="s">
        <v>56</v>
      </c>
      <c r="D16" s="11" t="s">
        <v>12</v>
      </c>
      <c r="E16" s="8" t="s">
        <v>57</v>
      </c>
    </row>
    <row r="17" ht="28.5" customHeight="1" spans="1:5" x14ac:dyDescent="0.25">
      <c r="A17" s="9"/>
      <c r="B17" s="10" t="s">
        <v>58</v>
      </c>
      <c r="C17" s="6" t="s">
        <v>59</v>
      </c>
      <c r="D17" s="13" t="s">
        <v>19</v>
      </c>
      <c r="E17" s="8" t="s">
        <v>60</v>
      </c>
    </row>
    <row r="18" ht="28.5" customHeight="1" spans="1:5" x14ac:dyDescent="0.25">
      <c r="A18" s="12"/>
      <c r="B18" s="10" t="s">
        <v>61</v>
      </c>
      <c r="C18" s="6" t="s">
        <v>62</v>
      </c>
      <c r="D18" s="7" t="s">
        <v>8</v>
      </c>
      <c r="E18" s="8" t="s">
        <v>63</v>
      </c>
    </row>
    <row r="19" ht="28.5" customHeight="1" spans="1:5" x14ac:dyDescent="0.25">
      <c r="A19" s="14" t="s">
        <v>64</v>
      </c>
      <c r="B19" s="5" t="s">
        <v>65</v>
      </c>
      <c r="C19" s="6" t="s">
        <v>66</v>
      </c>
      <c r="D19" s="7" t="s">
        <v>8</v>
      </c>
      <c r="E19" s="8" t="s">
        <v>67</v>
      </c>
    </row>
    <row r="20" ht="28.5" customHeight="1" spans="1:5" x14ac:dyDescent="0.25">
      <c r="A20" s="15"/>
      <c r="B20" s="10" t="s">
        <v>68</v>
      </c>
      <c r="C20" s="6" t="s">
        <v>69</v>
      </c>
      <c r="D20" s="11" t="s">
        <v>12</v>
      </c>
      <c r="E20" s="8" t="s">
        <v>70</v>
      </c>
    </row>
    <row r="21" ht="28.5" customHeight="1" spans="1:5" x14ac:dyDescent="0.25">
      <c r="A21" s="16"/>
      <c r="B21" s="10" t="s">
        <v>71</v>
      </c>
      <c r="C21" s="6" t="s">
        <v>72</v>
      </c>
      <c r="D21" s="11" t="s">
        <v>12</v>
      </c>
      <c r="E21" s="8" t="s">
        <v>73</v>
      </c>
    </row>
    <row r="23" spans="2:2" x14ac:dyDescent="0.25">
      <c r="B23" s="17" t="s">
        <v>74</v>
      </c>
    </row>
    <row r="24" spans="2:3" x14ac:dyDescent="0.25">
      <c r="B24" s="18" t="s">
        <v>75</v>
      </c>
      <c r="C24" s="18" t="s">
        <v>76</v>
      </c>
    </row>
    <row r="25" spans="2:3" x14ac:dyDescent="0.25">
      <c r="B25" s="18" t="s">
        <v>77</v>
      </c>
      <c r="C25" s="18" t="s">
        <v>78</v>
      </c>
    </row>
    <row r="26" spans="2:3" x14ac:dyDescent="0.25">
      <c r="B26" s="18" t="s">
        <v>79</v>
      </c>
      <c r="C26" s="18" t="s">
        <v>80</v>
      </c>
    </row>
    <row r="27" spans="2:3" x14ac:dyDescent="0.25">
      <c r="B27" s="18" t="s">
        <v>8</v>
      </c>
      <c r="C27" s="18">
        <f>COUNTIF($D$2:$D$21,"Pass")</f>
        <v>8</v>
      </c>
    </row>
    <row r="28" spans="2:3" x14ac:dyDescent="0.25">
      <c r="B28" s="18" t="s">
        <v>12</v>
      </c>
      <c r="C28" s="18">
        <f>COUNTIF($D$2:$D$21,"Partial")</f>
        <v>9</v>
      </c>
    </row>
    <row r="29" spans="2:3" x14ac:dyDescent="0.25">
      <c r="B29" s="18" t="s">
        <v>19</v>
      </c>
      <c r="C29" s="18">
        <f>COUNTIF($D$2:$D$21,"Fail")</f>
        <v>3</v>
      </c>
    </row>
    <row r="30" spans="2:3" x14ac:dyDescent="0.25">
      <c r="B30" s="18" t="s">
        <v>81</v>
      </c>
      <c r="C30" s="18">
        <f>COUNTA($D$2:$D$21)</f>
        <v>20</v>
      </c>
    </row>
    <row r="31" spans="2:3" x14ac:dyDescent="0.25">
      <c r="B31" s="17" t="s">
        <v>82</v>
      </c>
      <c r="C31" s="18" t="s">
        <v>83</v>
      </c>
    </row>
  </sheetData>
  <mergeCells count="6">
    <mergeCell ref="A2:A5"/>
    <mergeCell ref="A6:A8"/>
    <mergeCell ref="A9:A11"/>
    <mergeCell ref="A12:A15"/>
    <mergeCell ref="A16:A18"/>
    <mergeCell ref="A19:A21"/>
  </mergeCells>
  <pageMargins left="0.75" right="0.75" top="1" bottom="1" header="0.5" footer="0.5"/>
  <pageSetup paperSize="9" orientation="portrait" horizontalDpi="600" verticalDpi="600" scale="100" fitToWidth="1" fitToHeight="1" firstPageNumber="1" useFirstPageNumber="1" usePrinterDefaults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 29148 BRD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cp:revision>1</cp:revision>
  <dcterms:created xsi:type="dcterms:W3CDTF">2026-10-19T10:10:57Z</dcterms:created>
  <dcterms:modified xsi:type="dcterms:W3CDTF">2026-10-19T10:17:44Z</dcterms:modified>
</cp:coreProperties>
</file>